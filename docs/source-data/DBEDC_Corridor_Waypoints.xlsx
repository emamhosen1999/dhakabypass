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ight-line Model" sheetId="1" state="visible" r:id="rId3"/>
    <sheet name="Road-Network Model" sheetId="2" state="visible" r:id="rId4"/>
    <sheet name="Toll Plazas" sheetId="3" state="visible" r:id="rId5"/>
    <sheet name="Bridges &amp; Landmar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<sst xmlns="http://schemas.openxmlformats.org/spreadsheetml/2006/main" count="153" uniqueCount="111">
  <si>
    <t xml:space="preserve">Dhaka Bypass Expressway (N8) — Corridor Waypoints</t>
  </si>
  <si>
    <t xml:space="preserve">Straight-line (great-circle) model — total corridor forced to exactly 48.000 km</t>
  </si>
  <si>
    <t xml:space="preserve">Point</t>
  </si>
  <si>
    <t xml:space="preserve">Latitude</t>
  </si>
  <si>
    <t xml:space="preserve">Longitude</t>
  </si>
  <si>
    <t xml:space="preserve">DMS</t>
  </si>
  <si>
    <t xml:space="preserve">Segment Distance (km)</t>
  </si>
  <si>
    <t xml:space="preserve">Cumulative Distance (km)</t>
  </si>
  <si>
    <t xml:space="preserve">Notes</t>
  </si>
  <si>
    <t xml:space="preserve">S</t>
  </si>
  <si>
    <t xml:space="preserve">24°00'17.6"N 90°19'31.2"E</t>
  </si>
  <si>
    <t xml:space="preserve">Adjusted start point — extended along the S→2 bearing so total straight-line corridor = 48.000 km</t>
  </si>
  <si>
    <t xml:space="preserve">2</t>
  </si>
  <si>
    <t xml:space="preserve">23°58'39.2"N 90°22'51.1"E</t>
  </si>
  <si>
    <t xml:space="preserve">Original corridor waypoint</t>
  </si>
  <si>
    <t xml:space="preserve">3</t>
  </si>
  <si>
    <t xml:space="preserve">23°56'58.8"N 90°24'52.4"E</t>
  </si>
  <si>
    <t xml:space="preserve">4</t>
  </si>
  <si>
    <t xml:space="preserve">23°55'48.8"N 90°27'09.6"E</t>
  </si>
  <si>
    <t xml:space="preserve">5</t>
  </si>
  <si>
    <t xml:space="preserve">23°50'05.2"N 90°32'25.7"E</t>
  </si>
  <si>
    <t xml:space="preserve">6</t>
  </si>
  <si>
    <t xml:space="preserve">23°47'08.0"N 90°34'07.4"E</t>
  </si>
  <si>
    <t xml:space="preserve">7</t>
  </si>
  <si>
    <t xml:space="preserve">23°43'53.5"N 90°35'15.5"E</t>
  </si>
  <si>
    <t xml:space="preserve">New waypoint added between 6 and 8 (user-supplied)</t>
  </si>
  <si>
    <t xml:space="preserve">8</t>
  </si>
  <si>
    <t xml:space="preserve">23°41'25.8"N 90°32'48.2"E</t>
  </si>
  <si>
    <t xml:space="preserve">End point (was "E"); corrected using surveyed DMS coordinate</t>
  </si>
  <si>
    <t xml:space="preserve">Total corridor length (km):</t>
  </si>
  <si>
    <t xml:space="preserve">Note: Segment distances computed with the haversine great-circle formula (Earth radius 6371.0088 km). Point S was extrapolated along the bearing of the original S→2 segment so the total equals exactly 48.000 km. This is a planning/reference model — see 'Road-Network Model' sheet for actual as-built road distances.</t>
  </si>
  <si>
    <t xml:space="preserve">Dhaka Bypass Expressway (N8) — Road-Network Corridor &amp; Chainage</t>
  </si>
  <si>
    <t xml:space="preserve">Actual driving/road-network distances (TomTom routing, shortest-route) — real-world chainage reference</t>
  </si>
  <si>
    <t xml:space="preserve">Road Segment (km)</t>
  </si>
  <si>
    <t xml:space="preserve">Cumulative Chainage</t>
  </si>
  <si>
    <t xml:space="preserve">Cumulative (km)</t>
  </si>
  <si>
    <t xml:space="preserve">K0+000</t>
  </si>
  <si>
    <t xml:space="preserve">Road-network start point — actual physical terminus of Dhaka City Bypass, near Naojor Flyover (নাওজোড় ফ্লাইওভার). Beyond this point the bypass pavement ends; router detours via Dhaka–Tangail Highway.</t>
  </si>
  <si>
    <t xml:space="preserve">K2+314</t>
  </si>
  <si>
    <t xml:space="preserve">K7+554</t>
  </si>
  <si>
    <t xml:space="preserve">K12+090</t>
  </si>
  <si>
    <t xml:space="preserve">K26+799</t>
  </si>
  <si>
    <t xml:space="preserve">K34+973</t>
  </si>
  <si>
    <t xml:space="preserve">K41+371</t>
  </si>
  <si>
    <t xml:space="preserve">New waypoint added between 6 and 8</t>
  </si>
  <si>
    <t xml:space="preserve">K47+611</t>
  </si>
  <si>
    <t xml:space="preserve">End point (was "E"), corrected via DMS</t>
  </si>
  <si>
    <t xml:space="preserve">Total road-network length (km):</t>
  </si>
  <si>
    <t xml:space="preserve">Shortfall vs 48.000 km target:</t>
  </si>
  <si>
    <t xml:space="preserve">Note: Chainage (K#+###) is measured along the actual road corridor centerline from the road-network start point S, not the straight-line model. Distances from TomTom Maps routing API (routeType=short, live network). The physical bypass road terminates ~2.3 km northwest of waypoint 2, capping achievable road-network length at 47.611 km — 0.389 km short of the 48.000 km straight-line target.</t>
  </si>
  <si>
    <t xml:space="preserve">Dhaka Bypass Expressway (N8) — Toll Plaza Database</t>
  </si>
  <si>
    <t xml:space="preserve">Chainage determined by projecting each plaza onto the road-network corridor geometry</t>
  </si>
  <si>
    <t xml:space="preserve">Toll Plaza ID</t>
  </si>
  <si>
    <t xml:space="preserve">Side</t>
  </si>
  <si>
    <t xml:space="preserve">Chainage</t>
  </si>
  <si>
    <t xml:space="preserve">Offset from Centerline (m)</t>
  </si>
  <si>
    <t xml:space="preserve">Nearest Waypoints</t>
  </si>
  <si>
    <t xml:space="preserve">TP-01</t>
  </si>
  <si>
    <t xml:space="preserve">RHS</t>
  </si>
  <si>
    <t xml:space="preserve">K3+218</t>
  </si>
  <si>
    <t xml:space="preserve">Between S and 2 / near WP2</t>
  </si>
  <si>
    <t xml:space="preserve">Vogra Toll Plaza (RHS), paired with TP-02 (LHS) ~488 m downstream. Re-projected onto the actual TomTom-routed polyline (not a straight-line model) — offset unchanged at 10.3 m, confirming the original fix.</t>
  </si>
  <si>
    <t xml:space="preserve">TP-02</t>
  </si>
  <si>
    <t xml:space="preserve">LHS</t>
  </si>
  <si>
    <t xml:space="preserve">K3+706</t>
  </si>
  <si>
    <t xml:space="preserve">Vogra Toll Plaza (LHS) — paired with TP-01 (RHS, K3+218). Re-projected onto the actual TomTom-routed polyline: chainage corrected from the earlier straight-line estimate (K3+519) to K3+706, offset now -0.5 m (essentially on the centerline).</t>
  </si>
  <si>
    <t xml:space="preserve">TP-03</t>
  </si>
  <si>
    <t xml:space="preserve">K11+365</t>
  </si>
  <si>
    <t xml:space="preserve">Between 3 and 4</t>
  </si>
  <si>
    <t xml:space="preserve">Mirer Bazar (A). Re-projected onto the actual routed polyline: corrected from K11+214 (135 m offset, straight-line model) to K11+365, offset now -5.4 m. Side (LHS) still doesn't match the Toll-Plaza-Area survey zone at raw chainage K11+560–K11+900, which showed an RHS-only bulge — still worth a field check.</t>
  </si>
  <si>
    <t xml:space="preserve">TP-04</t>
  </si>
  <si>
    <t xml:space="preserve">K13+184</t>
  </si>
  <si>
    <t xml:space="preserve">Between 4 and 5</t>
  </si>
  <si>
    <t xml:space="preserve">Mirer Bazar (RHS). Re-projected onto the actual routed polyline: corrected from K13+196 (81 m offset) to K13+184, offset now 17.3 m.</t>
  </si>
  <si>
    <t xml:space="preserve">TP-05</t>
  </si>
  <si>
    <t xml:space="preserve">K13+403</t>
  </si>
  <si>
    <t xml:space="preserve">Mirer Bazar (LHS), ~219 m downstream of TP-04 (RHS). Re-projected onto the actual routed polyline: corrected from K13+334 (162 m offset) to K13+403, offset now -8.5 m.</t>
  </si>
  <si>
    <t xml:space="preserve">TP-06</t>
  </si>
  <si>
    <t xml:space="preserve">K24+522</t>
  </si>
  <si>
    <t xml:space="preserve">Purbachal Toll Plaza (LHS). Re-projected onto the actual routed polyline: corrected from K24+180 (9.8 m offset) to K24+522, offset now 4.6 m.</t>
  </si>
  <si>
    <t xml:space="preserve">TP-07</t>
  </si>
  <si>
    <t xml:space="preserve">LHS+RHS</t>
  </si>
  <si>
    <t xml:space="preserve">K34+353 (est.)</t>
  </si>
  <si>
    <t xml:space="preserve">Near WP6 (K34+973)</t>
  </si>
  <si>
    <t xml:space="preserve">Unidentified — no name given yet. From the Toll-Plaza-Area cross-section survey: both carriageway columns widen to ~22.9 m at raw survey chainage K34+600. Projected against the real TomTom-routed polyline (not a straight-line model), but the survey file's chainage reference doesn't line up with this route's chainage by a constant offset — calibrating against TP-01/02/04/05/06 (where both systems are known) shows the gap shrinking from ~600 m near the start to ~300 m by K24, and this point is a ~10 km extrapolation past the last calibrated pair. Lat/Lon here uses that extrapolated trend (route chainage ≈ K33+990 base estimate refined to K34+353); treat as ±200–300 m along the corridor until a real GPS pin is taken.</t>
  </si>
  <si>
    <t xml:space="preserve">TP-08</t>
  </si>
  <si>
    <t xml:space="preserve">LHS (shoulder only)</t>
  </si>
  <si>
    <t xml:space="preserve">K36+554 (est.)</t>
  </si>
  <si>
    <t xml:space="preserve">Between WP6 and WP7</t>
  </si>
  <si>
    <t xml:space="preserve">Unidentified — no name given yet. LHS shoulder only widens to ~18.1 m at raw survey chainage K36+780; RHS and carriageway columns stay baseline — may be a bridge/lay-by rather than a toll gantry. Same chainage-reconciliation caveat as TP-07: extrapolated ~12 km past the last calibrated pair, so treat as ±200–300 m along the corridor pending a field GPS fix.</t>
  </si>
  <si>
    <t xml:space="preserve">TP-09</t>
  </si>
  <si>
    <t xml:space="preserve">K45+965 (est.)</t>
  </si>
  <si>
    <t xml:space="preserve">Near WP8/E (K47+611, Madanpur end)</t>
  </si>
  <si>
    <t xml:space="preserve">Unidentified — no name given yet. Both carriageway columns widen to ~23.2 m at raw survey chainage K46+100, close to the Madanpur end — strong candidate for a Madanpur-side toll plaza. Same chainage-reconciliation caveat: extrapolated ~21 km past the last calibrated pair (the biggest extrapolation of the three), so treat lat/lon as the roughest of this batch, ±200–300 m along the corridor, pending a field GPS fix.</t>
  </si>
  <si>
    <t xml:space="preserve">Legend: fill Toll Plaza ID, Side (LHS/RHS), Latitude, Longitude. Chainage &amp; Offset are determined by projecting the coordinate onto the road-network route geometry (see 'Road-Network Model' sheet) — ask Claude to compute these for new entries.</t>
  </si>
  <si>
    <t xml:space="preserve">Dhaka Bypass Expressway (N8) — Bridges &amp; Named Landmarks</t>
  </si>
  <si>
    <t xml:space="preserve">Non-toll reference points along the corridor, chainage projected onto the Road-Network Model geometry</t>
  </si>
  <si>
    <t xml:space="preserve">Landmark ID</t>
  </si>
  <si>
    <t xml:space="preserve">Type</t>
  </si>
  <si>
    <t xml:space="preserve">LM-01</t>
  </si>
  <si>
    <t xml:space="preserve">Bridge</t>
  </si>
  <si>
    <t xml:space="preserve">K14+584</t>
  </si>
  <si>
    <t xml:space="preserve">Nagda Bridge. Re-projected onto the actual TomTom-routed polyline (not a straight-line model): corrected from K14+375 (325 m offset) to K14+584, offset now 4.9 m.</t>
  </si>
  <si>
    <t xml:space="preserve">LM-02</t>
  </si>
  <si>
    <t xml:space="preserve">K16+795</t>
  </si>
  <si>
    <t xml:space="preserve">Ulukhola Bridge. Re-projected onto the actual routed polyline: corrected from K16+823 (30 m offset) to K16+795, offset now 6.7 m.</t>
  </si>
  <si>
    <t xml:space="preserve">LM-03</t>
  </si>
  <si>
    <t xml:space="preserve">K27+403</t>
  </si>
  <si>
    <t xml:space="preserve">Between 5 and 6, near WP5</t>
  </si>
  <si>
    <t xml:space="preserve">Kanchan Bridge. Re-projected onto the actual routed polyline: corrected from K26+937 (547 m offset) to K27+403, offset now -15.1 m — still right at the K-26/K-27 OMC vicinity, consistent with Kanchan Bridge being the landmark used for the nearby DESCO zone office.</t>
  </si>
  <si>
    <t xml:space="preserve">Legend: fill Landmark ID, Type, Latitude, Longitude. Chainage &amp; Offset are determined by projecting the coordinate onto the Road-Network Model route geometry.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</si>
</sst>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0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3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6.25" hidden="false" customHeight="true" outlineLevel="0" collapsed="false">
      <c r="A5" s="5" t="s">
        <v>9</v>
      </c>
      <c r="B5" s="6" t="n">
        <v>24.004888</v>
      </c>
      <c r="C5" s="6" t="n">
        <v>90.325339</v>
      </c>
      <c r="D5" s="7" t="s">
        <v>10</v>
      </c>
      <c r="E5" s="8" t="n">
        <v>0</v>
      </c>
      <c r="F5" s="8" t="n">
        <f aca="false">E5</f>
        <v>0</v>
      </c>
      <c r="G5" s="7" t="s">
        <v>11</v>
      </c>
    </row>
    <row r="6" customFormat="false" ht="26.25" hidden="false" customHeight="true" outlineLevel="0" collapsed="false">
      <c r="A6" s="5" t="s">
        <v>12</v>
      </c>
      <c r="B6" s="6" t="n">
        <v>23.977568</v>
      </c>
      <c r="C6" s="6" t="n">
        <v>90.380874</v>
      </c>
      <c r="D6" s="7" t="s">
        <v>13</v>
      </c>
      <c r="E6" s="8" t="n">
        <f aca="false">6371.0088*2*ASIN(SQRT(SIN(RADIANS(B6-B5)/2)^2+COS(RADIANS(B5))*COS(RADIANS(B6))*SIN(RADIANS(C6-C5)/2)^2))</f>
        <v>6.40762190038062</v>
      </c>
      <c r="F6" s="8" t="n">
        <f aca="false">F5+E6</f>
        <v>6.40762190038062</v>
      </c>
      <c r="G6" s="7" t="s">
        <v>14</v>
      </c>
    </row>
    <row r="7" customFormat="false" ht="26.25" hidden="false" customHeight="true" outlineLevel="0" collapsed="false">
      <c r="A7" s="5" t="s">
        <v>15</v>
      </c>
      <c r="B7" s="6" t="n">
        <v>23.949671</v>
      </c>
      <c r="C7" s="6" t="n">
        <v>90.414551</v>
      </c>
      <c r="D7" s="7" t="s">
        <v>16</v>
      </c>
      <c r="E7" s="8" t="n">
        <f aca="false">6371.0088*2*ASIN(SQRT(SIN(RADIANS(B7-B6)/2)^2+COS(RADIANS(B6))*COS(RADIANS(B7))*SIN(RADIANS(C7-C6)/2)^2))</f>
        <v>4.61866886212713</v>
      </c>
      <c r="F7" s="8" t="n">
        <f aca="false">F6+E7</f>
        <v>11.0262907625078</v>
      </c>
      <c r="G7" s="7" t="s">
        <v>14</v>
      </c>
    </row>
    <row r="8" customFormat="false" ht="26.25" hidden="false" customHeight="true" outlineLevel="0" collapsed="false">
      <c r="A8" s="5" t="s">
        <v>17</v>
      </c>
      <c r="B8" s="6" t="n">
        <v>23.930211</v>
      </c>
      <c r="C8" s="6" t="n">
        <v>90.452655</v>
      </c>
      <c r="D8" s="7" t="s">
        <v>18</v>
      </c>
      <c r="E8" s="8" t="n">
        <f aca="false">6371.0088*2*ASIN(SQRT(SIN(RADIANS(B8-B7)/2)^2+COS(RADIANS(B7))*COS(RADIANS(B8))*SIN(RADIANS(C8-C7)/2)^2))</f>
        <v>4.43602770466646</v>
      </c>
      <c r="F8" s="8" t="n">
        <f aca="false">F7+E8</f>
        <v>15.4623184671742</v>
      </c>
      <c r="G8" s="7" t="s">
        <v>14</v>
      </c>
    </row>
    <row r="9" customFormat="false" ht="26.25" hidden="false" customHeight="true" outlineLevel="0" collapsed="false">
      <c r="A9" s="5" t="s">
        <v>19</v>
      </c>
      <c r="B9" s="6" t="n">
        <v>23.834773</v>
      </c>
      <c r="C9" s="6" t="n">
        <v>90.540481</v>
      </c>
      <c r="D9" s="7" t="s">
        <v>20</v>
      </c>
      <c r="E9" s="8" t="n">
        <f aca="false">6371.0088*2*ASIN(SQRT(SIN(RADIANS(B9-B8)/2)^2+COS(RADIANS(B8))*COS(RADIANS(B9))*SIN(RADIANS(C9-C8)/2)^2))</f>
        <v>13.8693231348678</v>
      </c>
      <c r="F9" s="8" t="n">
        <f aca="false">F8+E9</f>
        <v>29.331641602042</v>
      </c>
      <c r="G9" s="7" t="s">
        <v>14</v>
      </c>
    </row>
    <row r="10" customFormat="false" ht="26.25" hidden="false" customHeight="true" outlineLevel="0" collapsed="false">
      <c r="A10" s="5" t="s">
        <v>21</v>
      </c>
      <c r="B10" s="6" t="n">
        <v>23.785562</v>
      </c>
      <c r="C10" s="6" t="n">
        <v>90.56872</v>
      </c>
      <c r="D10" s="7" t="s">
        <v>22</v>
      </c>
      <c r="E10" s="8" t="n">
        <f aca="false">6371.0088*2*ASIN(SQRT(SIN(RADIANS(B10-B9)/2)^2+COS(RADIANS(B9))*COS(RADIANS(B10))*SIN(RADIANS(C10-C9)/2)^2))</f>
        <v>6.18028290186328</v>
      </c>
      <c r="F10" s="8" t="n">
        <f aca="false">F9+E10</f>
        <v>35.5119245039053</v>
      </c>
      <c r="G10" s="7" t="s">
        <v>14</v>
      </c>
    </row>
    <row r="11" customFormat="false" ht="26.25" hidden="false" customHeight="true" outlineLevel="0" collapsed="false">
      <c r="A11" s="5" t="s">
        <v>23</v>
      </c>
      <c r="B11" s="6" t="n">
        <v>23.731516</v>
      </c>
      <c r="C11" s="6" t="n">
        <v>90.587646</v>
      </c>
      <c r="D11" s="7" t="s">
        <v>24</v>
      </c>
      <c r="E11" s="8" t="n">
        <f aca="false">6371.0088*2*ASIN(SQRT(SIN(RADIANS(B11-B10)/2)^2+COS(RADIANS(B10))*COS(RADIANS(B11))*SIN(RADIANS(C11-C10)/2)^2))</f>
        <v>6.31077238354503</v>
      </c>
      <c r="F11" s="8" t="n">
        <f aca="false">F10+E11</f>
        <v>41.8226968874503</v>
      </c>
      <c r="G11" s="7" t="s">
        <v>25</v>
      </c>
    </row>
    <row r="12" customFormat="false" ht="26.25" hidden="false" customHeight="true" outlineLevel="0" collapsed="false">
      <c r="A12" s="5" t="s">
        <v>26</v>
      </c>
      <c r="B12" s="6" t="n">
        <v>23.6905</v>
      </c>
      <c r="C12" s="6" t="n">
        <v>90.546722</v>
      </c>
      <c r="D12" s="7" t="s">
        <v>27</v>
      </c>
      <c r="E12" s="8" t="n">
        <f aca="false">6371.0088*2*ASIN(SQRT(SIN(RADIANS(B12-B11)/2)^2+COS(RADIANS(B11))*COS(RADIANS(B12))*SIN(RADIANS(C12-C11)/2)^2))</f>
        <v>6.17735379640604</v>
      </c>
      <c r="F12" s="8" t="n">
        <f aca="false">F11+E12</f>
        <v>48.0000506838564</v>
      </c>
      <c r="G12" s="7" t="s">
        <v>28</v>
      </c>
    </row>
    <row r="14" customFormat="false" ht="15" hidden="false" customHeight="true" outlineLevel="0" collapsed="false">
      <c r="A14" s="9" t="s">
        <v>29</v>
      </c>
      <c r="B14" s="10" t="n">
        <f aca="false">F12</f>
        <v>48.0000506838564</v>
      </c>
    </row>
    <row r="16" customFormat="false" ht="30" hidden="false" customHeight="true" outlineLevel="0" collapsed="false">
      <c r="A16" s="11" t="s">
        <v>30</v>
      </c>
      <c r="B16" s="11"/>
      <c r="C16" s="11"/>
      <c r="D16" s="11"/>
      <c r="E16" s="11"/>
      <c r="F16" s="11"/>
      <c r="G16" s="11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3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32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33</v>
      </c>
      <c r="E4" s="4" t="s">
        <v>34</v>
      </c>
      <c r="F4" s="4" t="s">
        <v>35</v>
      </c>
      <c r="G4" s="4" t="s">
        <v>8</v>
      </c>
    </row>
    <row r="5" customFormat="false" ht="51.75" hidden="false" customHeight="true" outlineLevel="0" collapsed="false">
      <c r="A5" s="5" t="s">
        <v>9</v>
      </c>
      <c r="B5" s="6" t="n">
        <v>23.986737</v>
      </c>
      <c r="C5" s="6" t="n">
        <v>90.362246</v>
      </c>
      <c r="D5" s="8" t="n">
        <v>0</v>
      </c>
      <c r="E5" s="12" t="s">
        <v>36</v>
      </c>
      <c r="F5" s="8" t="n">
        <f aca="false">D5</f>
        <v>0</v>
      </c>
      <c r="G5" s="7" t="s">
        <v>37</v>
      </c>
    </row>
    <row r="6" customFormat="false" ht="15" hidden="false" customHeight="true" outlineLevel="0" collapsed="false">
      <c r="A6" s="5" t="s">
        <v>12</v>
      </c>
      <c r="B6" s="6" t="n">
        <v>23.977568</v>
      </c>
      <c r="C6" s="6" t="n">
        <v>90.380874</v>
      </c>
      <c r="D6" s="8" t="n">
        <v>2.314</v>
      </c>
      <c r="E6" s="12" t="s">
        <v>38</v>
      </c>
      <c r="F6" s="8" t="n">
        <f aca="false">F5+D6</f>
        <v>2.314</v>
      </c>
      <c r="G6" s="7" t="s">
        <v>14</v>
      </c>
    </row>
    <row r="7" customFormat="false" ht="15" hidden="false" customHeight="true" outlineLevel="0" collapsed="false">
      <c r="A7" s="5" t="s">
        <v>15</v>
      </c>
      <c r="B7" s="6" t="n">
        <v>23.949671</v>
      </c>
      <c r="C7" s="6" t="n">
        <v>90.414551</v>
      </c>
      <c r="D7" s="8" t="n">
        <v>5.24</v>
      </c>
      <c r="E7" s="12" t="s">
        <v>39</v>
      </c>
      <c r="F7" s="8" t="n">
        <f aca="false">F6+D7</f>
        <v>7.554</v>
      </c>
      <c r="G7" s="7" t="s">
        <v>14</v>
      </c>
    </row>
    <row r="8" customFormat="false" ht="15" hidden="false" customHeight="true" outlineLevel="0" collapsed="false">
      <c r="A8" s="5" t="s">
        <v>17</v>
      </c>
      <c r="B8" s="6" t="n">
        <v>23.930211</v>
      </c>
      <c r="C8" s="6" t="n">
        <v>90.452655</v>
      </c>
      <c r="D8" s="8" t="n">
        <v>4.536</v>
      </c>
      <c r="E8" s="12" t="s">
        <v>40</v>
      </c>
      <c r="F8" s="8" t="n">
        <f aca="false">F7+D8</f>
        <v>12.09</v>
      </c>
      <c r="G8" s="7" t="s">
        <v>14</v>
      </c>
    </row>
    <row r="9" customFormat="false" ht="15" hidden="false" customHeight="true" outlineLevel="0" collapsed="false">
      <c r="A9" s="5" t="s">
        <v>19</v>
      </c>
      <c r="B9" s="6" t="n">
        <v>23.834773</v>
      </c>
      <c r="C9" s="6" t="n">
        <v>90.540481</v>
      </c>
      <c r="D9" s="8" t="n">
        <v>14.709</v>
      </c>
      <c r="E9" s="12" t="s">
        <v>41</v>
      </c>
      <c r="F9" s="8" t="n">
        <f aca="false">F8+D9</f>
        <v>26.799</v>
      </c>
      <c r="G9" s="7" t="s">
        <v>14</v>
      </c>
    </row>
    <row r="10" customFormat="false" ht="15" hidden="false" customHeight="true" outlineLevel="0" collapsed="false">
      <c r="A10" s="5" t="s">
        <v>21</v>
      </c>
      <c r="B10" s="6" t="n">
        <v>23.785562</v>
      </c>
      <c r="C10" s="6" t="n">
        <v>90.56872</v>
      </c>
      <c r="D10" s="8" t="n">
        <v>8.174</v>
      </c>
      <c r="E10" s="12" t="s">
        <v>42</v>
      </c>
      <c r="F10" s="8" t="n">
        <f aca="false">F9+D10</f>
        <v>34.973</v>
      </c>
      <c r="G10" s="7" t="s">
        <v>14</v>
      </c>
    </row>
    <row r="11" customFormat="false" ht="15" hidden="false" customHeight="true" outlineLevel="0" collapsed="false">
      <c r="A11" s="5" t="s">
        <v>23</v>
      </c>
      <c r="B11" s="6" t="n">
        <v>23.731516</v>
      </c>
      <c r="C11" s="6" t="n">
        <v>90.587646</v>
      </c>
      <c r="D11" s="8" t="n">
        <v>6.398</v>
      </c>
      <c r="E11" s="12" t="s">
        <v>43</v>
      </c>
      <c r="F11" s="8" t="n">
        <f aca="false">F10+D11</f>
        <v>41.371</v>
      </c>
      <c r="G11" s="7" t="s">
        <v>44</v>
      </c>
    </row>
    <row r="12" customFormat="false" ht="15" hidden="false" customHeight="true" outlineLevel="0" collapsed="false">
      <c r="A12" s="5" t="s">
        <v>26</v>
      </c>
      <c r="B12" s="6" t="n">
        <v>23.6905</v>
      </c>
      <c r="C12" s="6" t="n">
        <v>90.546722</v>
      </c>
      <c r="D12" s="8" t="n">
        <v>6.24</v>
      </c>
      <c r="E12" s="12" t="s">
        <v>45</v>
      </c>
      <c r="F12" s="8" t="n">
        <f aca="false">F11+D12</f>
        <v>47.611</v>
      </c>
      <c r="G12" s="7" t="s">
        <v>46</v>
      </c>
    </row>
    <row r="14" customFormat="false" ht="15" hidden="false" customHeight="true" outlineLevel="0" collapsed="false">
      <c r="A14" s="9" t="s">
        <v>47</v>
      </c>
      <c r="B14" s="10" t="n">
        <f aca="false">F12</f>
        <v>47.611</v>
      </c>
    </row>
    <row r="15" customFormat="false" ht="15" hidden="false" customHeight="true" outlineLevel="0" collapsed="false">
      <c r="A15" s="13" t="s">
        <v>48</v>
      </c>
      <c r="B15" s="14" t="n">
        <f aca="false">48-F12</f>
        <v>0.389000000000003</v>
      </c>
    </row>
    <row r="17" customFormat="false" ht="39.75" hidden="false" customHeight="true" outlineLevel="0" collapsed="false">
      <c r="A17" s="11" t="s">
        <v>49</v>
      </c>
      <c r="B17" s="11"/>
      <c r="C17" s="11"/>
      <c r="D17" s="11"/>
      <c r="E17" s="11"/>
      <c r="F17" s="11"/>
      <c r="G17" s="11"/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40"/>
  </cols>
  <sheetData>
    <row r="1" customFormat="false" ht="17.2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52</v>
      </c>
      <c r="B4" s="4" t="s">
        <v>53</v>
      </c>
      <c r="C4" s="4" t="s">
        <v>3</v>
      </c>
      <c r="D4" s="4" t="s">
        <v>4</v>
      </c>
      <c r="E4" s="4" t="s">
        <v>54</v>
      </c>
      <c r="F4" s="4" t="s">
        <v>55</v>
      </c>
      <c r="G4" s="4" t="s">
        <v>56</v>
      </c>
      <c r="H4" s="4" t="s">
        <v>8</v>
      </c>
    </row>
    <row r="5" customFormat="false" ht="26.25" hidden="false" customHeight="true" outlineLevel="0" collapsed="false">
      <c r="A5" s="5" t="s">
        <v>57</v>
      </c>
      <c r="B5" s="12" t="s">
        <v>58</v>
      </c>
      <c r="C5" s="12" t="n">
        <v>23.9753671891032</v>
      </c>
      <c r="D5" s="12" t="n">
        <v>90.3892799542563</v>
      </c>
      <c r="E5" s="12" t="s">
        <v>59</v>
      </c>
      <c r="F5" s="15" t="n">
        <v>10.3</v>
      </c>
      <c r="G5" s="7" t="s">
        <v>60</v>
      </c>
      <c r="H5" s="7" t="s">
        <v>61</v>
      </c>
    </row>
    <row r="6" customFormat="false" ht="15" hidden="false" customHeight="true" outlineLevel="0" collapsed="false">
      <c r="A6" s="5" t="s">
        <v>62</v>
      </c>
      <c r="B6" s="12" t="s">
        <v>63</v>
      </c>
      <c r="C6" s="12" t="n">
        <v>23.9743656008642</v>
      </c>
      <c r="D6" s="12" t="n">
        <v>90.3920315233251</v>
      </c>
      <c r="E6" s="12" t="s">
        <v>64</v>
      </c>
      <c r="F6" s="15" t="n">
        <v>-0.5</v>
      </c>
      <c r="G6" s="7" t="s">
        <v>60</v>
      </c>
      <c r="H6" s="7" t="s">
        <v>65</v>
      </c>
    </row>
    <row r="7" customFormat="false" ht="15" hidden="false" customHeight="true" outlineLevel="0" collapsed="false">
      <c r="A7" s="5" t="s">
        <v>66</v>
      </c>
      <c r="B7" s="12" t="s">
        <v>63</v>
      </c>
      <c r="C7" s="12" t="n">
        <v>23.9350313419691</v>
      </c>
      <c r="D7" s="12" t="n">
        <v>90.4459478257505</v>
      </c>
      <c r="E7" s="12" t="s">
        <v>67</v>
      </c>
      <c r="F7" s="15" t="n">
        <v>-5.4</v>
      </c>
      <c r="G7" s="7" t="s">
        <v>68</v>
      </c>
      <c r="H7" s="7" t="s">
        <v>69</v>
      </c>
    </row>
    <row r="8" customFormat="false" ht="15" hidden="false" customHeight="true" outlineLevel="0" collapsed="false">
      <c r="A8" s="5" t="s">
        <v>70</v>
      </c>
      <c r="B8" s="12" t="s">
        <v>58</v>
      </c>
      <c r="C8" s="12" t="n">
        <v>23.9235064402213</v>
      </c>
      <c r="D8" s="12" t="n">
        <v>90.4598731363515</v>
      </c>
      <c r="E8" s="12" t="s">
        <v>71</v>
      </c>
      <c r="F8" s="15" t="n">
        <v>17.3</v>
      </c>
      <c r="G8" s="7" t="s">
        <v>72</v>
      </c>
      <c r="H8" s="7" t="s">
        <v>73</v>
      </c>
    </row>
    <row r="9" customFormat="false" ht="15" hidden="false" customHeight="true" outlineLevel="0" collapsed="false">
      <c r="A9" s="5" t="s">
        <v>74</v>
      </c>
      <c r="B9" s="12" t="s">
        <v>63</v>
      </c>
      <c r="C9" s="12" t="n">
        <v>23.9230805540177</v>
      </c>
      <c r="D9" s="12" t="n">
        <v>90.461301142233</v>
      </c>
      <c r="E9" s="12" t="s">
        <v>75</v>
      </c>
      <c r="F9" s="15" t="n">
        <v>-8.5</v>
      </c>
      <c r="G9" s="7" t="s">
        <v>72</v>
      </c>
      <c r="H9" s="7" t="s">
        <v>76</v>
      </c>
    </row>
    <row r="10" customFormat="false" ht="15" hidden="false" customHeight="true" outlineLevel="0" collapsed="false">
      <c r="A10" s="5" t="s">
        <v>77</v>
      </c>
      <c r="B10" s="12" t="s">
        <v>63</v>
      </c>
      <c r="C10" s="12" t="n">
        <v>23.8517101214179</v>
      </c>
      <c r="D10" s="12" t="n">
        <v>90.5247815080999</v>
      </c>
      <c r="E10" s="12" t="s">
        <v>78</v>
      </c>
      <c r="F10" s="15" t="n">
        <v>4.6</v>
      </c>
      <c r="G10" s="7" t="s">
        <v>72</v>
      </c>
      <c r="H10" s="7" t="s">
        <v>79</v>
      </c>
    </row>
    <row r="11" customFormat="false" ht="141" hidden="false" customHeight="true" outlineLevel="0" collapsed="false">
      <c r="A11" s="5" t="s">
        <v>80</v>
      </c>
      <c r="B11" s="12" t="s">
        <v>81</v>
      </c>
      <c r="C11" s="12" t="n">
        <v>23.791205</v>
      </c>
      <c r="D11" s="12" t="n">
        <v>90.569644</v>
      </c>
      <c r="E11" s="12" t="s">
        <v>82</v>
      </c>
      <c r="F11" s="15"/>
      <c r="G11" s="7" t="s">
        <v>83</v>
      </c>
      <c r="H11" s="7" t="s">
        <v>84</v>
      </c>
    </row>
    <row r="12" customFormat="false" ht="128.25" hidden="false" customHeight="true" outlineLevel="0" collapsed="false">
      <c r="A12" s="5" t="s">
        <v>85</v>
      </c>
      <c r="B12" s="12" t="s">
        <v>86</v>
      </c>
      <c r="C12" s="12" t="n">
        <v>23.772146</v>
      </c>
      <c r="D12" s="12" t="n">
        <v>90.571652</v>
      </c>
      <c r="E12" s="12" t="s">
        <v>87</v>
      </c>
      <c r="F12" s="15"/>
      <c r="G12" s="7" t="s">
        <v>88</v>
      </c>
      <c r="H12" s="7" t="s">
        <v>89</v>
      </c>
    </row>
    <row r="13" customFormat="false" ht="30" hidden="false" customHeight="true" outlineLevel="0" collapsed="false">
      <c r="A13" s="5" t="s">
        <v>90</v>
      </c>
      <c r="B13" s="12" t="s">
        <v>81</v>
      </c>
      <c r="C13" s="12" t="n">
        <v>23.703585</v>
      </c>
      <c r="D13" s="12" t="n">
        <v>90.555454</v>
      </c>
      <c r="E13" s="12" t="s">
        <v>91</v>
      </c>
      <c r="F13" s="15"/>
      <c r="G13" s="7" t="s">
        <v>92</v>
      </c>
      <c r="H13" s="7" t="s">
        <v>93</v>
      </c>
    </row>
    <row r="14" customFormat="false" ht="15" hidden="false" customHeight="true" outlineLevel="0" collapsed="false">
      <c r="A14" s="11" t="s">
        <v>94</v>
      </c>
      <c r="B14" s="11"/>
      <c r="C14" s="11"/>
      <c r="D14" s="11"/>
      <c r="E14" s="11"/>
      <c r="F14" s="11"/>
      <c r="G14" s="11"/>
      <c r="H14" s="11"/>
    </row>
  </sheetData>
  <mergeCells count="3">
    <mergeCell ref="A1:H1"/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46"/>
  </cols>
  <sheetData>
    <row r="1" customFormat="false" ht="17.25" hidden="false" customHeight="true" outlineLevel="0" collapsed="false">
      <c r="A1" s="16" t="s">
        <v>95</v>
      </c>
    </row>
    <row r="2" customFormat="false" ht="15" hidden="false" customHeight="true" outlineLevel="0" collapsed="false">
      <c r="A2" s="17" t="s">
        <v>96</v>
      </c>
    </row>
    <row r="4" customFormat="false" ht="26.25" hidden="false" customHeight="true" outlineLevel="0" collapsed="false">
      <c r="A4" s="4" t="s">
        <v>97</v>
      </c>
      <c r="B4" s="4" t="s">
        <v>98</v>
      </c>
      <c r="C4" s="4" t="s">
        <v>3</v>
      </c>
      <c r="D4" s="4" t="s">
        <v>4</v>
      </c>
      <c r="E4" s="4" t="s">
        <v>54</v>
      </c>
      <c r="F4" s="4" t="s">
        <v>55</v>
      </c>
      <c r="G4" s="4" t="s">
        <v>56</v>
      </c>
      <c r="H4" s="4" t="s">
        <v>8</v>
      </c>
    </row>
    <row r="5" customFormat="false" ht="51.75" hidden="false" customHeight="true" outlineLevel="0" collapsed="false">
      <c r="A5" s="5" t="s">
        <v>99</v>
      </c>
      <c r="B5" s="12" t="s">
        <v>100</v>
      </c>
      <c r="C5" s="12" t="n">
        <v>23.9172678221816</v>
      </c>
      <c r="D5" s="12" t="n">
        <v>90.4687529262276</v>
      </c>
      <c r="E5" s="12" t="s">
        <v>101</v>
      </c>
      <c r="F5" s="15" t="n">
        <v>4.9</v>
      </c>
      <c r="G5" s="7" t="s">
        <v>72</v>
      </c>
      <c r="H5" s="7" t="s">
        <v>102</v>
      </c>
    </row>
    <row r="6" customFormat="false" ht="26.25" hidden="false" customHeight="true" outlineLevel="0" collapsed="false">
      <c r="A6" s="5" t="s">
        <v>103</v>
      </c>
      <c r="B6" s="12" t="s">
        <v>100</v>
      </c>
      <c r="C6" s="12" t="n">
        <v>23.8996763586372</v>
      </c>
      <c r="D6" s="12" t="n">
        <v>90.481156073407</v>
      </c>
      <c r="E6" s="12" t="s">
        <v>104</v>
      </c>
      <c r="F6" s="15" t="n">
        <v>6.7</v>
      </c>
      <c r="G6" s="7" t="s">
        <v>72</v>
      </c>
      <c r="H6" s="7" t="s">
        <v>105</v>
      </c>
    </row>
    <row r="7" customFormat="false" ht="102.75" hidden="false" customHeight="true" outlineLevel="0" collapsed="false">
      <c r="A7" s="5" t="s">
        <v>106</v>
      </c>
      <c r="B7" s="12" t="s">
        <v>100</v>
      </c>
      <c r="C7" s="12" t="n">
        <v>23.8362275491726</v>
      </c>
      <c r="D7" s="12" t="n">
        <v>90.5457148627381</v>
      </c>
      <c r="E7" s="12" t="s">
        <v>107</v>
      </c>
      <c r="F7" s="15" t="n">
        <v>-15.1</v>
      </c>
      <c r="G7" s="7" t="s">
        <v>108</v>
      </c>
      <c r="H7" s="7" t="s">
        <v>109</v>
      </c>
    </row>
    <row r="9" customFormat="false" ht="15" hidden="false" customHeight="true" outlineLevel="0" collapsed="false">
      <c r="A9" s="1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2026-09-02T07:35:07Z</dcterms:created>
  <dc:creator>openpyxl</dc:creator>
  <dc:description/>
  <dc:language>en-US</dc:language>
  <cp:lastModifiedBy/>
  <dcterms:modified xsi:type="dcterms:W3CDTF">2026-09-02T08:32:27Z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